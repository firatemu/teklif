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ZEM\Desktop\"/>
    </mc:Choice>
  </mc:AlternateContent>
  <xr:revisionPtr revIDLastSave="0" documentId="13_ncr:1_{FB3124A3-EA45-4F93-961C-57574A9CBFA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 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7" i="2" l="1"/>
  <c r="Q37" i="2"/>
</calcChain>
</file>

<file path=xl/sharedStrings.xml><?xml version="1.0" encoding="utf-8"?>
<sst xmlns="http://schemas.openxmlformats.org/spreadsheetml/2006/main" count="72" uniqueCount="68">
  <si>
    <r>
      <rPr>
        <b/>
        <sz val="6.5"/>
        <color rgb="FFFFFFFF"/>
        <rFont val="Calibri"/>
        <family val="2"/>
      </rPr>
      <t>Ürün açıklaması</t>
    </r>
  </si>
  <si>
    <r>
      <rPr>
        <b/>
        <vertAlign val="subscript"/>
        <sz val="6.5"/>
        <rFont val="Calibri"/>
        <family val="2"/>
      </rPr>
      <t>─ Ana paket</t>
    </r>
    <r>
      <rPr>
        <b/>
        <sz val="4.5"/>
        <rFont val="Calibri"/>
        <family val="2"/>
      </rPr>
      <t>(1)(2)(4)</t>
    </r>
  </si>
  <si>
    <r>
      <rPr>
        <sz val="6.5"/>
        <rFont val="Calibri"/>
        <family val="2"/>
      </rPr>
      <t>Logo Edge T-Series Basic ana paket (1 kullanıcı)</t>
    </r>
  </si>
  <si>
    <r>
      <rPr>
        <b/>
        <sz val="6.5"/>
        <rFont val="Calibri"/>
        <family val="2"/>
      </rPr>
      <t>─ Kullanıcı artırımları</t>
    </r>
    <r>
      <rPr>
        <b/>
        <vertAlign val="superscript"/>
        <sz val="6.5"/>
        <rFont val="Calibri"/>
        <family val="2"/>
      </rPr>
      <t>(5)</t>
    </r>
  </si>
  <si>
    <r>
      <rPr>
        <sz val="6.5"/>
        <rFont val="Calibri"/>
        <family val="2"/>
      </rPr>
      <t>Logo Edge T-Series Basic kullanıcı artırımı +2</t>
    </r>
  </si>
  <si>
    <r>
      <rPr>
        <sz val="6.5"/>
        <rFont val="Calibri"/>
        <family val="2"/>
      </rPr>
      <t>Logo Edge T-Series Basic kullanıcı artırımı +5</t>
    </r>
  </si>
  <si>
    <r>
      <rPr>
        <sz val="6.5"/>
        <rFont val="Calibri"/>
        <family val="2"/>
      </rPr>
      <t>Logo Edge T-Series Basic kullanıcı artırımı +10</t>
    </r>
  </si>
  <si>
    <r>
      <rPr>
        <b/>
        <vertAlign val="subscript"/>
        <sz val="6.5"/>
        <rFont val="Calibri"/>
        <family val="2"/>
      </rPr>
      <t>─ Opsiyonlar</t>
    </r>
    <r>
      <rPr>
        <b/>
        <sz val="4.5"/>
        <rFont val="Calibri"/>
        <family val="2"/>
      </rPr>
      <t>(6)(7)(8)(9)(10)</t>
    </r>
  </si>
  <si>
    <r>
      <rPr>
        <sz val="6.5"/>
        <rFont val="Calibri"/>
        <family val="2"/>
      </rPr>
      <t>Logo Edge T-Series Basic e-İhracat İşlemleri modülü</t>
    </r>
  </si>
  <si>
    <r>
      <rPr>
        <sz val="6.5"/>
        <rFont val="Calibri"/>
        <family val="2"/>
      </rPr>
      <t>Logo Edge T-Series Basic Hızlı Üretim</t>
    </r>
  </si>
  <si>
    <r>
      <rPr>
        <b/>
        <sz val="6.5"/>
        <rFont val="Calibri"/>
        <family val="2"/>
      </rPr>
      <t>─ Perakende</t>
    </r>
    <r>
      <rPr>
        <b/>
        <vertAlign val="superscript"/>
        <sz val="6.5"/>
        <rFont val="Calibri"/>
        <family val="2"/>
      </rPr>
      <t>(7)</t>
    </r>
  </si>
  <si>
    <r>
      <rPr>
        <sz val="6.5"/>
        <rFont val="Calibri"/>
        <family val="2"/>
      </rPr>
      <t>Logo Edge T-Series Basic Perakende</t>
    </r>
  </si>
  <si>
    <r>
      <rPr>
        <b/>
        <sz val="6.5"/>
        <rFont val="Calibri"/>
        <family val="2"/>
      </rPr>
      <t xml:space="preserve">─Yabancı dil paketi </t>
    </r>
    <r>
      <rPr>
        <b/>
        <vertAlign val="superscript"/>
        <sz val="6.5"/>
        <rFont val="Calibri"/>
        <family val="2"/>
      </rPr>
      <t>(3)(18)</t>
    </r>
  </si>
  <si>
    <r>
      <rPr>
        <sz val="6.5"/>
        <rFont val="Calibri"/>
        <family val="2"/>
      </rPr>
      <t>Logo Edge T-Series Basic ek dil paketi / 1 dil</t>
    </r>
  </si>
  <si>
    <r>
      <rPr>
        <b/>
        <sz val="6.5"/>
        <rFont val="Calibri"/>
        <family val="2"/>
      </rPr>
      <t>─ e-Fatura</t>
    </r>
  </si>
  <si>
    <r>
      <rPr>
        <sz val="6.5"/>
        <rFont val="Calibri"/>
        <family val="2"/>
      </rPr>
      <t>Logo Edge T-Series Basic Connect Fatura (1 firma)</t>
    </r>
  </si>
  <si>
    <r>
      <rPr>
        <sz val="6.5"/>
        <rFont val="Calibri"/>
        <family val="2"/>
      </rPr>
      <t>Logo Edge T-Series Basic Connect Fatura firma artırımı</t>
    </r>
  </si>
  <si>
    <r>
      <rPr>
        <b/>
        <sz val="6.5"/>
        <rFont val="Calibri"/>
        <family val="2"/>
      </rPr>
      <t>─  e-Defter</t>
    </r>
  </si>
  <si>
    <r>
      <rPr>
        <sz val="6.5"/>
        <rFont val="Calibri"/>
        <family val="2"/>
      </rPr>
      <t>Logo Edge T-Series Basic e-Defter (1 firma)</t>
    </r>
  </si>
  <si>
    <r>
      <rPr>
        <sz val="6.5"/>
        <rFont val="Calibri"/>
        <family val="2"/>
      </rPr>
      <t>Logo Edge T-Series Basic e-Defter firma artırımı</t>
    </r>
  </si>
  <si>
    <r>
      <rPr>
        <b/>
        <sz val="6.5"/>
        <rFont val="Calibri"/>
        <family val="2"/>
      </rPr>
      <t>─ e-Arşiv Fatura</t>
    </r>
  </si>
  <si>
    <r>
      <rPr>
        <sz val="6.5"/>
        <rFont val="Calibri"/>
        <family val="2"/>
      </rPr>
      <t>Logo Edge T-Series Basic Connect e-Arşiv Fatura (1 firma)</t>
    </r>
  </si>
  <si>
    <r>
      <rPr>
        <sz val="6.5"/>
        <rFont val="Calibri"/>
        <family val="2"/>
      </rPr>
      <t>Logo Edge T-Series Basic Connect e-Arşiv Fatura firma artırımı</t>
    </r>
  </si>
  <si>
    <r>
      <rPr>
        <b/>
        <sz val="6.5"/>
        <rFont val="Calibri"/>
        <family val="2"/>
      </rPr>
      <t>─ e-İrsaliye</t>
    </r>
  </si>
  <si>
    <r>
      <rPr>
        <sz val="6.5"/>
        <rFont val="Calibri"/>
        <family val="2"/>
      </rPr>
      <t>Logo Edge T-Series Basic e-İrsaliye (1 firma)</t>
    </r>
  </si>
  <si>
    <r>
      <rPr>
        <sz val="6.5"/>
        <rFont val="Calibri"/>
        <family val="2"/>
      </rPr>
      <t>Logo Edge T-Series Basic e-İrsaliye firma artırımı</t>
    </r>
  </si>
  <si>
    <r>
      <rPr>
        <sz val="6.5"/>
        <rFont val="Calibri"/>
        <family val="2"/>
      </rPr>
      <t>Logo Edge T-Series Basic e-İrsaliye (Logo Özel Entegratör)</t>
    </r>
  </si>
  <si>
    <r>
      <rPr>
        <sz val="6.5"/>
        <rFont val="Calibri"/>
        <family val="2"/>
      </rPr>
      <t>Logo Edge T-Series Basic e-İrsaliye firma artırımı (Logo Özel Entegratör)</t>
    </r>
  </si>
  <si>
    <r>
      <rPr>
        <b/>
        <sz val="6.5"/>
        <rFont val="Calibri"/>
        <family val="2"/>
      </rPr>
      <t>─ Diğer e-Çözümler</t>
    </r>
  </si>
  <si>
    <r>
      <rPr>
        <sz val="6.5"/>
        <rFont val="Calibri"/>
        <family val="2"/>
      </rPr>
      <t>Logo Edge T-Series Basic e-Serbest Meslek Makbuzu</t>
    </r>
  </si>
  <si>
    <r>
      <rPr>
        <sz val="6.5"/>
        <rFont val="Calibri"/>
        <family val="2"/>
      </rPr>
      <t>Logo Edge T-Series Basic e-Müstahsil Makbuzu</t>
    </r>
  </si>
  <si>
    <r>
      <rPr>
        <sz val="6.5"/>
        <rFont val="Calibri"/>
        <family val="2"/>
      </rPr>
      <t>Logo Edge T-Series Basic e-Müstahsil Makbuzu firma artırımı</t>
    </r>
  </si>
  <si>
    <r>
      <rPr>
        <b/>
        <sz val="6.5"/>
        <rFont val="Calibri"/>
        <family val="2"/>
      </rPr>
      <t>─ e-Dönüşüm Bundle</t>
    </r>
  </si>
  <si>
    <r>
      <rPr>
        <sz val="6.5"/>
        <rFont val="Calibri"/>
        <family val="2"/>
      </rPr>
      <t>Logo Edge T-Series Basic e-Dönüşüm Bundle 1 (e-Deftersiz) (e-Fatura &amp; e-Arşiv Fatura &amp; e-İrsaliye)</t>
    </r>
  </si>
  <si>
    <r>
      <rPr>
        <sz val="6.5"/>
        <rFont val="Calibri"/>
        <family val="2"/>
      </rPr>
      <t xml:space="preserve">Logo Edge T-Series Basic e-Dönüşüm Bundle 2 (e-Defterli) (e-Fatura &amp; e-Arşiv Fatura &amp; e-İrsaliye &amp; e-
</t>
    </r>
    <r>
      <rPr>
        <sz val="6.5"/>
        <rFont val="Calibri"/>
        <family val="2"/>
      </rPr>
      <t>Defter)</t>
    </r>
  </si>
  <si>
    <r>
      <rPr>
        <sz val="6.5"/>
        <rFont val="Calibri"/>
        <family val="2"/>
      </rPr>
      <t>Logo Edge T-Series Basic Connect Fatura firma artırımı Bundle 1</t>
    </r>
  </si>
  <si>
    <r>
      <rPr>
        <sz val="6.5"/>
        <rFont val="Calibri"/>
        <family val="2"/>
      </rPr>
      <t>Logo Edge T-Series Basic Connect e-Arşiv Fatura firma artırımı Bundle 1</t>
    </r>
  </si>
  <si>
    <r>
      <rPr>
        <sz val="6.5"/>
        <rFont val="Calibri"/>
        <family val="2"/>
      </rPr>
      <t>Logo Edge T-Series Basic e-İrsaliye (Logo Özel Entegratör) firma artırımı Bundle 1</t>
    </r>
  </si>
  <si>
    <r>
      <rPr>
        <sz val="6.5"/>
        <rFont val="Calibri"/>
        <family val="2"/>
      </rPr>
      <t>Logo Edge T-Series Basic Connect Fatura firma artırımı Bundle 2</t>
    </r>
  </si>
  <si>
    <r>
      <rPr>
        <sz val="6.5"/>
        <rFont val="Calibri"/>
        <family val="2"/>
      </rPr>
      <t>Logo Edge T-Series Basic e-Defter firma artırımı Bundle 2</t>
    </r>
  </si>
  <si>
    <r>
      <rPr>
        <sz val="6.5"/>
        <rFont val="Calibri"/>
        <family val="2"/>
      </rPr>
      <t>Logo Edge T-Series Basic Connect e-Arşiv Fatura firma artırımı Bundle 2</t>
    </r>
  </si>
  <si>
    <r>
      <rPr>
        <sz val="6.5"/>
        <rFont val="Calibri"/>
        <family val="2"/>
      </rPr>
      <t>Logo Edge T-Series Basic e-İrsaliye (Logo Özel Entegratör) firma artırımı Bundle 2</t>
    </r>
  </si>
  <si>
    <r>
      <rPr>
        <b/>
        <sz val="6.5"/>
        <rFont val="Calibri"/>
        <family val="2"/>
      </rPr>
      <t xml:space="preserve">─ Logo Finansal Teknolojiler  </t>
    </r>
    <r>
      <rPr>
        <b/>
        <vertAlign val="superscript"/>
        <sz val="6.5"/>
        <rFont val="Calibri"/>
        <family val="2"/>
      </rPr>
      <t>(16)(17)</t>
    </r>
  </si>
  <si>
    <r>
      <rPr>
        <b/>
        <sz val="6.5"/>
        <rFont val="Calibri"/>
        <family val="2"/>
      </rPr>
      <t>─ Online Hesap Özeti</t>
    </r>
  </si>
  <si>
    <r>
      <rPr>
        <sz val="6.5"/>
        <rFont val="Calibri"/>
        <family val="2"/>
      </rPr>
      <t>Online Hesap Özeti Yıllık Paket (POS Aktarım)</t>
    </r>
  </si>
  <si>
    <r>
      <rPr>
        <sz val="6.5"/>
        <rFont val="Calibri"/>
        <family val="2"/>
      </rPr>
      <t>Online Hesap Özeti Yıllık Paket (EHÖ Aktarım)</t>
    </r>
  </si>
  <si>
    <r>
      <rPr>
        <sz val="6.5"/>
        <rFont val="Calibri"/>
        <family val="2"/>
      </rPr>
      <t>Online Hesap Özeti Yıllık Paket (Para Transferi)</t>
    </r>
  </si>
  <si>
    <r>
      <rPr>
        <sz val="6.5"/>
        <rFont val="Calibri"/>
        <family val="2"/>
      </rPr>
      <t>Online Hesap Özeti Yıllık Paket (DBS)</t>
    </r>
  </si>
  <si>
    <r>
      <rPr>
        <sz val="6.5"/>
        <rFont val="Calibri"/>
        <family val="2"/>
      </rPr>
      <t>Online Hesap Özeti Uygulama Aylık Paket (EHÖ Aktarım)</t>
    </r>
  </si>
  <si>
    <r>
      <rPr>
        <b/>
        <sz val="6.5"/>
        <rFont val="Calibri"/>
        <family val="2"/>
      </rPr>
      <t>─ Logo e-Tahsilat</t>
    </r>
  </si>
  <si>
    <r>
      <rPr>
        <sz val="6.5"/>
        <rFont val="Calibri"/>
        <family val="2"/>
      </rPr>
      <t>Logo e-Tahsilat Uygulaması Ana paket (ERP içi app)</t>
    </r>
  </si>
  <si>
    <r>
      <rPr>
        <sz val="6.5"/>
        <rFont val="Calibri"/>
        <family val="2"/>
      </rPr>
      <t>Logo e-Tahsilat Uygulaması Firma Artırımı  (ERP içi app)</t>
    </r>
  </si>
  <si>
    <r>
      <rPr>
        <sz val="6.5"/>
        <rFont val="Calibri"/>
        <family val="2"/>
      </rPr>
      <t>Logo e-Tahsilat Ana paket (ERP içi app &amp; Web &amp; Mobil)</t>
    </r>
  </si>
  <si>
    <r>
      <rPr>
        <sz val="6.5"/>
        <rFont val="Calibri"/>
        <family val="2"/>
      </rPr>
      <t>Logo e-Tahsilat Firma Artırımı (ERP içi app &amp; Web &amp; Mobil)</t>
    </r>
  </si>
  <si>
    <r>
      <rPr>
        <sz val="6.5"/>
        <rFont val="Calibri"/>
        <family val="2"/>
      </rPr>
      <t>Logo e-Tahsilat B2B Portal  Ana paket (ERP içi app &amp; Web &amp; Mobil)</t>
    </r>
  </si>
  <si>
    <r>
      <rPr>
        <sz val="6.5"/>
        <rFont val="Calibri"/>
        <family val="2"/>
      </rPr>
      <t>Logo e-Tahsilat B2B Portal  Firma Artırımı (ERP içi app &amp; Web &amp; Mobil)</t>
    </r>
  </si>
  <si>
    <r>
      <rPr>
        <sz val="6.5"/>
        <rFont val="Calibri"/>
        <family val="2"/>
      </rPr>
      <t>Logo e-Tahsilat B2B Portal  Bayi Artırımı (ERP içi app &amp; Web &amp; Mobil)</t>
    </r>
  </si>
  <si>
    <r>
      <rPr>
        <b/>
        <sz val="6.5"/>
        <rFont val="Calibri"/>
        <family val="2"/>
      </rPr>
      <t>─ Ek ürün ve hizmetler</t>
    </r>
    <r>
      <rPr>
        <b/>
        <vertAlign val="superscript"/>
        <sz val="6.5"/>
        <rFont val="Calibri"/>
        <family val="2"/>
      </rPr>
      <t>(18)</t>
    </r>
  </si>
  <si>
    <r>
      <rPr>
        <sz val="6.5"/>
        <rFont val="Calibri"/>
        <family val="2"/>
      </rPr>
      <t>Set kontrol ve değişim hizmeti</t>
    </r>
  </si>
  <si>
    <r>
      <rPr>
        <sz val="6.5"/>
        <rFont val="Calibri"/>
        <family val="2"/>
      </rPr>
      <t>Logo Edge T-Series Basic Veritabanı Kullanım Lisansı</t>
    </r>
  </si>
  <si>
    <t>E-Çözümler</t>
  </si>
  <si>
    <r>
      <rPr>
        <b/>
        <sz val="6"/>
        <color rgb="FFFFFFFF"/>
        <rFont val="Calibri"/>
        <family val="2"/>
        <charset val="162"/>
        <scheme val="minor"/>
      </rPr>
      <t>ESNEK ÖDEME PLANI</t>
    </r>
  </si>
  <si>
    <r>
      <rPr>
        <b/>
        <sz val="6"/>
        <color rgb="FFFFFFFF"/>
        <rFont val="Calibri"/>
        <family val="2"/>
        <charset val="162"/>
        <scheme val="minor"/>
      </rPr>
      <t>Plan 1</t>
    </r>
  </si>
  <si>
    <r>
      <rPr>
        <b/>
        <sz val="6"/>
        <color rgb="FFFFFFFF"/>
        <rFont val="Calibri"/>
        <family val="2"/>
        <charset val="162"/>
        <scheme val="minor"/>
      </rPr>
      <t>Plan 2</t>
    </r>
  </si>
  <si>
    <r>
      <rPr>
        <b/>
        <sz val="6"/>
        <color rgb="FFFFFFFF"/>
        <rFont val="Calibri"/>
        <family val="2"/>
        <charset val="162"/>
        <scheme val="minor"/>
      </rPr>
      <t>Plan 3</t>
    </r>
  </si>
  <si>
    <r>
      <rPr>
        <b/>
        <sz val="6"/>
        <color rgb="FFFFFFFF"/>
        <rFont val="Calibri"/>
        <family val="2"/>
        <charset val="162"/>
        <scheme val="minor"/>
      </rPr>
      <t>İlk yıl
abonelik</t>
    </r>
  </si>
  <si>
    <r>
      <rPr>
        <b/>
        <sz val="6"/>
        <color rgb="FFFFFFFF"/>
        <rFont val="Calibri"/>
        <family val="2"/>
        <charset val="162"/>
        <scheme val="minor"/>
      </rPr>
      <t>Abonelik
yenileme</t>
    </r>
  </si>
  <si>
    <t>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</si>
</sst>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₺&quot;#,##0.00"/>
    <numFmt numFmtId="165" formatCode="&quot;₺&quot;#,##0.000"/>
    <numFmt numFmtId="166" formatCode="&quot;₺&quot;#,##0"/>
  </numFmts>
  <fonts count="14" x14ac:knownFonts="1">
    <font>
      <sz val="10"/>
      <color rgb="FF000000"/>
      <name val="Times New Roman"/>
      <charset val="204"/>
    </font>
    <font>
      <b/>
      <sz val="6.5"/>
      <name val="Calibri"/>
    </font>
    <font>
      <sz val="6.5"/>
      <name val="Calibri"/>
    </font>
    <font>
      <b/>
      <sz val="6.5"/>
      <color rgb="FFFFFFFF"/>
      <name val="Calibri"/>
      <family val="2"/>
    </font>
    <font>
      <b/>
      <vertAlign val="subscript"/>
      <sz val="6.5"/>
      <name val="Calibri"/>
      <family val="2"/>
    </font>
    <font>
      <b/>
      <sz val="4.5"/>
      <name val="Calibri"/>
      <family val="2"/>
    </font>
    <font>
      <sz val="6.5"/>
      <name val="Calibri"/>
      <family val="2"/>
    </font>
    <font>
      <b/>
      <sz val="6.5"/>
      <name val="Calibri"/>
      <family val="2"/>
    </font>
    <font>
      <b/>
      <vertAlign val="superscript"/>
      <sz val="6.5"/>
      <name val="Calibri"/>
      <family val="2"/>
    </font>
    <font>
      <b/>
      <sz val="6"/>
      <name val="Calibri"/>
      <family val="2"/>
      <charset val="162"/>
      <scheme val="minor"/>
    </font>
    <font>
      <b/>
      <sz val="6"/>
      <color rgb="FFFFFFFF"/>
      <name val="Calibri"/>
      <family val="2"/>
      <charset val="162"/>
      <scheme val="minor"/>
    </font>
    <font>
      <sz val="6"/>
      <color rgb="FF000000"/>
      <name val="Calibri"/>
      <family val="2"/>
      <charset val="162"/>
      <scheme val="minor"/>
    </font>
    <font>
      <sz val="6"/>
      <name val="Calibri"/>
      <family val="2"/>
      <charset val="162"/>
      <scheme val="minor"/>
    </font>
    <font>
      <sz val="8"/>
      <color rgb="FF000000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F5757"/>
      </patternFill>
    </fill>
    <fill>
      <patternFill patternType="solid">
        <fgColor rgb="FFC00000"/>
      </patternFill>
    </fill>
    <fill>
      <patternFill patternType="solid">
        <fgColor rgb="FF929E9E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0" fillId="4" borderId="2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165" fontId="0" fillId="0" borderId="0" xfId="0" applyNumberFormat="1" applyFill="1" applyBorder="1" applyAlignment="1">
      <alignment horizontal="left" vertical="top"/>
    </xf>
    <xf numFmtId="0" fontId="4" fillId="4" borderId="2" xfId="0" applyFont="1" applyFill="1" applyBorder="1" applyAlignment="1">
      <alignment horizontal="left" vertical="top" wrapText="1"/>
    </xf>
    <xf numFmtId="166" fontId="0" fillId="0" borderId="0" xfId="0" applyNumberFormat="1" applyFill="1" applyBorder="1" applyAlignment="1">
      <alignment horizontal="left" vertical="top"/>
    </xf>
    <xf numFmtId="166" fontId="11" fillId="0" borderId="2" xfId="0" applyNumberFormat="1" applyFont="1" applyFill="1" applyBorder="1" applyAlignment="1">
      <alignment horizontal="right" vertical="top" shrinkToFit="1"/>
    </xf>
    <xf numFmtId="166" fontId="12" fillId="0" borderId="2" xfId="0" applyNumberFormat="1" applyFont="1" applyFill="1" applyBorder="1" applyAlignment="1">
      <alignment horizontal="right" vertical="top" wrapText="1"/>
    </xf>
    <xf numFmtId="166" fontId="11" fillId="2" borderId="2" xfId="0" applyNumberFormat="1" applyFont="1" applyFill="1" applyBorder="1" applyAlignment="1">
      <alignment horizontal="left" vertical="top" wrapText="1" indent="1"/>
    </xf>
    <xf numFmtId="166" fontId="11" fillId="4" borderId="2" xfId="0" applyNumberFormat="1" applyFont="1" applyFill="1" applyBorder="1" applyAlignment="1">
      <alignment horizontal="left" vertical="center" wrapText="1"/>
    </xf>
    <xf numFmtId="166" fontId="11" fillId="0" borderId="2" xfId="0" applyNumberFormat="1" applyFont="1" applyFill="1" applyBorder="1" applyAlignment="1">
      <alignment horizontal="left" vertical="center" wrapText="1"/>
    </xf>
    <xf numFmtId="166" fontId="11" fillId="0" borderId="9" xfId="0" applyNumberFormat="1" applyFont="1" applyFill="1" applyBorder="1" applyAlignment="1">
      <alignment vertical="center" wrapText="1"/>
    </xf>
    <xf numFmtId="166" fontId="11" fillId="0" borderId="7" xfId="0" applyNumberFormat="1" applyFont="1" applyFill="1" applyBorder="1" applyAlignment="1">
      <alignment vertical="center" wrapText="1"/>
    </xf>
    <xf numFmtId="166" fontId="11" fillId="0" borderId="12" xfId="0" applyNumberFormat="1" applyFont="1" applyFill="1" applyBorder="1" applyAlignment="1">
      <alignment vertical="center" wrapText="1"/>
    </xf>
    <xf numFmtId="166" fontId="11" fillId="0" borderId="0" xfId="0" applyNumberFormat="1" applyFont="1" applyFill="1" applyBorder="1" applyAlignment="1">
      <alignment horizontal="left" vertical="top"/>
    </xf>
    <xf numFmtId="2" fontId="13" fillId="0" borderId="0" xfId="0" applyNumberFormat="1" applyFont="1" applyFill="1" applyBorder="1" applyAlignment="1">
      <alignment horizontal="left" vertical="top"/>
    </xf>
    <xf numFmtId="164" fontId="13" fillId="0" borderId="0" xfId="0" applyNumberFormat="1" applyFont="1" applyFill="1" applyBorder="1" applyAlignment="1">
      <alignment horizontal="left" vertical="top"/>
    </xf>
    <xf numFmtId="166" fontId="9" fillId="2" borderId="3" xfId="0" applyNumberFormat="1" applyFont="1" applyFill="1" applyBorder="1" applyAlignment="1">
      <alignment horizontal="center" vertical="top" wrapText="1"/>
    </xf>
    <xf numFmtId="166" fontId="9" fillId="2" borderId="4" xfId="0" applyNumberFormat="1" applyFont="1" applyFill="1" applyBorder="1" applyAlignment="1">
      <alignment horizontal="center" vertical="top" wrapText="1"/>
    </xf>
    <xf numFmtId="166" fontId="9" fillId="2" borderId="5" xfId="0" applyNumberFormat="1" applyFont="1" applyFill="1" applyBorder="1" applyAlignment="1">
      <alignment horizontal="center" vertical="top" wrapText="1"/>
    </xf>
    <xf numFmtId="166" fontId="9" fillId="3" borderId="3" xfId="0" applyNumberFormat="1" applyFont="1" applyFill="1" applyBorder="1" applyAlignment="1">
      <alignment horizontal="center" vertical="center" wrapText="1"/>
    </xf>
    <xf numFmtId="166" fontId="9" fillId="3" borderId="5" xfId="0" applyNumberFormat="1" applyFont="1" applyFill="1" applyBorder="1" applyAlignment="1">
      <alignment horizontal="center" vertical="center" wrapText="1"/>
    </xf>
    <xf numFmtId="166" fontId="11" fillId="4" borderId="3" xfId="0" applyNumberFormat="1" applyFont="1" applyFill="1" applyBorder="1" applyAlignment="1">
      <alignment horizontal="left" vertical="center" wrapText="1"/>
    </xf>
    <xf numFmtId="166" fontId="11" fillId="4" borderId="4" xfId="0" applyNumberFormat="1" applyFont="1" applyFill="1" applyBorder="1" applyAlignment="1">
      <alignment horizontal="left" vertical="center" wrapText="1"/>
    </xf>
    <xf numFmtId="166" fontId="11" fillId="4" borderId="5" xfId="0" applyNumberFormat="1" applyFont="1" applyFill="1" applyBorder="1" applyAlignment="1">
      <alignment horizontal="left" vertical="center" wrapText="1"/>
    </xf>
    <xf numFmtId="166" fontId="11" fillId="0" borderId="3" xfId="0" applyNumberFormat="1" applyFont="1" applyFill="1" applyBorder="1" applyAlignment="1">
      <alignment horizontal="left" vertical="center" wrapText="1"/>
    </xf>
    <xf numFmtId="166" fontId="11" fillId="0" borderId="4" xfId="0" applyNumberFormat="1" applyFont="1" applyFill="1" applyBorder="1" applyAlignment="1">
      <alignment horizontal="left" vertical="center" wrapText="1"/>
    </xf>
    <xf numFmtId="166" fontId="11" fillId="0" borderId="5" xfId="0" applyNumberFormat="1" applyFont="1" applyFill="1" applyBorder="1" applyAlignment="1">
      <alignment horizontal="left" vertical="center" wrapText="1"/>
    </xf>
    <xf numFmtId="166" fontId="11" fillId="0" borderId="8" xfId="0" applyNumberFormat="1" applyFont="1" applyFill="1" applyBorder="1" applyAlignment="1">
      <alignment vertical="top"/>
    </xf>
    <xf numFmtId="166" fontId="11" fillId="0" borderId="10" xfId="0" applyNumberFormat="1" applyFont="1" applyFill="1" applyBorder="1" applyAlignment="1">
      <alignment vertical="top"/>
    </xf>
    <xf numFmtId="166" fontId="11" fillId="0" borderId="0" xfId="0" applyNumberFormat="1" applyFont="1" applyFill="1" applyBorder="1" applyAlignment="1">
      <alignment vertical="top"/>
    </xf>
    <xf numFmtId="166" fontId="11" fillId="0" borderId="11" xfId="0" applyNumberFormat="1" applyFont="1" applyFill="1" applyBorder="1" applyAlignment="1">
      <alignment vertical="top"/>
    </xf>
    <xf numFmtId="166" fontId="11" fillId="4" borderId="3" xfId="0" applyNumberFormat="1" applyFont="1" applyFill="1" applyBorder="1" applyAlignment="1">
      <alignment vertical="center" wrapText="1"/>
    </xf>
    <xf numFmtId="166" fontId="11" fillId="5" borderId="4" xfId="0" applyNumberFormat="1" applyFont="1" applyFill="1" applyBorder="1" applyAlignment="1">
      <alignment vertical="center" wrapText="1"/>
    </xf>
    <xf numFmtId="166" fontId="11" fillId="5" borderId="5" xfId="0" applyNumberFormat="1" applyFont="1" applyFill="1" applyBorder="1" applyAlignment="1">
      <alignment vertical="center" wrapText="1"/>
    </xf>
    <xf numFmtId="0" fontId="0" fillId="5" border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8"/>
  <sheetViews>
    <sheetView tabSelected="1" topLeftCell="A30" zoomScale="160" zoomScaleNormal="160" workbookViewId="0">
      <selection activeCell="C45" sqref="C45"/>
    </sheetView>
  </sheetViews>
  <sheetFormatPr defaultRowHeight="13" x14ac:dyDescent="0.3"/>
  <cols>
    <col min="1" max="1" width="67.59765625" customWidth="1"/>
    <col min="2" max="2" width="11.09765625" style="20" customWidth="1"/>
    <col min="3" max="3" width="9.59765625" style="20" customWidth="1"/>
    <col min="4" max="4" width="9.796875" style="20" customWidth="1"/>
    <col min="5" max="5" width="9.59765625" style="20" customWidth="1"/>
    <col min="6" max="6" width="9.796875" style="20" customWidth="1"/>
    <col min="7" max="7" width="9.59765625" style="20" customWidth="1"/>
    <col min="8" max="8" width="14.796875" customWidth="1"/>
    <col min="9" max="10" width="12" bestFit="1" customWidth="1"/>
    <col min="11" max="13" width="11" bestFit="1" customWidth="1"/>
    <col min="14" max="14" width="9.19921875" bestFit="1" customWidth="1"/>
  </cols>
  <sheetData>
    <row r="1" spans="1:8" ht="20.25" customHeight="1" x14ac:dyDescent="0.3">
      <c r="A1" s="1"/>
      <c r="B1" s="23" t="s">
        <v>61</v>
      </c>
      <c r="C1" s="24"/>
      <c r="D1" s="24"/>
      <c r="E1" s="24"/>
      <c r="F1" s="24"/>
      <c r="G1" s="25"/>
    </row>
    <row r="2" spans="1:8" ht="26.5" customHeight="1" x14ac:dyDescent="0.3">
      <c r="A2" s="2"/>
      <c r="B2" s="26" t="s">
        <v>62</v>
      </c>
      <c r="C2" s="27"/>
      <c r="D2" s="26" t="s">
        <v>63</v>
      </c>
      <c r="E2" s="27"/>
      <c r="F2" s="26" t="s">
        <v>64</v>
      </c>
      <c r="G2" s="27"/>
    </row>
    <row r="3" spans="1:8" ht="18" customHeight="1" x14ac:dyDescent="0.3">
      <c r="A3" s="3" t="s">
        <v>0</v>
      </c>
      <c r="B3" s="14" t="s">
        <v>65</v>
      </c>
      <c r="C3" s="14" t="s">
        <v>66</v>
      </c>
      <c r="D3" s="14" t="s">
        <v>65</v>
      </c>
      <c r="E3" s="14" t="s">
        <v>66</v>
      </c>
      <c r="F3" s="14" t="s">
        <v>65</v>
      </c>
      <c r="G3" s="14" t="s">
        <v>66</v>
      </c>
    </row>
    <row r="4" spans="1:8" ht="12.75" customHeight="1" x14ac:dyDescent="0.3">
      <c r="A4" s="4" t="s">
        <v>1</v>
      </c>
      <c r="B4" s="28"/>
      <c r="C4" s="29"/>
      <c r="D4" s="29"/>
      <c r="E4" s="29"/>
      <c r="F4" s="29"/>
      <c r="G4" s="30"/>
    </row>
    <row r="5" spans="1:8" ht="12.75" customHeight="1" x14ac:dyDescent="0.3">
      <c r="A5" s="5" t="s">
        <v>2</v>
      </c>
      <c r="B5" s="12">
        <v>134500</v>
      </c>
      <c r="C5" s="12">
        <v>13500</v>
      </c>
      <c r="D5" s="12">
        <v>67300</v>
      </c>
      <c r="E5" s="12">
        <v>23800</v>
      </c>
      <c r="F5" s="12">
        <v>35000</v>
      </c>
      <c r="G5" s="12">
        <v>29400</v>
      </c>
      <c r="H5" s="9"/>
    </row>
    <row r="6" spans="1:8" ht="12.75" customHeight="1" x14ac:dyDescent="0.3">
      <c r="A6" s="6" t="s">
        <v>3</v>
      </c>
      <c r="B6" s="15"/>
      <c r="C6" s="15"/>
      <c r="D6" s="15"/>
      <c r="E6" s="15"/>
      <c r="F6" s="15"/>
      <c r="G6" s="15"/>
    </row>
    <row r="7" spans="1:8" ht="12.75" customHeight="1" x14ac:dyDescent="0.3">
      <c r="A7" s="5" t="s">
        <v>4</v>
      </c>
      <c r="B7" s="12">
        <v>72000</v>
      </c>
      <c r="C7" s="12">
        <v>7200</v>
      </c>
      <c r="D7" s="12">
        <v>36000</v>
      </c>
      <c r="E7" s="12">
        <v>12700</v>
      </c>
      <c r="F7" s="12">
        <v>18800</v>
      </c>
      <c r="G7" s="12">
        <v>15700</v>
      </c>
    </row>
    <row r="8" spans="1:8" ht="12.75" customHeight="1" x14ac:dyDescent="0.3">
      <c r="A8" s="5" t="s">
        <v>5</v>
      </c>
      <c r="B8" s="12">
        <v>165700</v>
      </c>
      <c r="C8" s="12">
        <v>16600</v>
      </c>
      <c r="D8" s="12">
        <v>82900</v>
      </c>
      <c r="E8" s="12">
        <v>29300</v>
      </c>
      <c r="F8" s="12">
        <v>43100</v>
      </c>
      <c r="G8" s="12">
        <v>36200</v>
      </c>
    </row>
    <row r="9" spans="1:8" ht="12.75" customHeight="1" x14ac:dyDescent="0.3">
      <c r="A9" s="5" t="s">
        <v>6</v>
      </c>
      <c r="B9" s="12">
        <v>259700</v>
      </c>
      <c r="C9" s="12">
        <v>26000</v>
      </c>
      <c r="D9" s="12">
        <v>129900</v>
      </c>
      <c r="E9" s="12">
        <v>45800</v>
      </c>
      <c r="F9" s="12">
        <v>67600</v>
      </c>
      <c r="G9" s="12">
        <v>56700</v>
      </c>
    </row>
    <row r="10" spans="1:8" ht="12.75" customHeight="1" x14ac:dyDescent="0.3">
      <c r="A10" s="4" t="s">
        <v>7</v>
      </c>
      <c r="B10" s="28"/>
      <c r="C10" s="29"/>
      <c r="D10" s="29"/>
      <c r="E10" s="29"/>
      <c r="F10" s="29"/>
      <c r="G10" s="30"/>
    </row>
    <row r="11" spans="1:8" ht="12.75" customHeight="1" x14ac:dyDescent="0.3">
      <c r="A11" s="5" t="s">
        <v>8</v>
      </c>
      <c r="B11" s="12">
        <v>72000</v>
      </c>
      <c r="C11" s="12">
        <v>7200</v>
      </c>
      <c r="D11" s="12">
        <v>36000</v>
      </c>
      <c r="E11" s="12">
        <v>12700</v>
      </c>
      <c r="F11" s="12">
        <v>18800</v>
      </c>
      <c r="G11" s="12">
        <v>15700</v>
      </c>
    </row>
    <row r="12" spans="1:8" ht="12.75" customHeight="1" x14ac:dyDescent="0.3">
      <c r="A12" s="5" t="s">
        <v>9</v>
      </c>
      <c r="B12" s="12">
        <v>112100</v>
      </c>
      <c r="C12" s="12">
        <v>11300</v>
      </c>
      <c r="D12" s="12">
        <v>56100</v>
      </c>
      <c r="E12" s="12">
        <v>19800</v>
      </c>
      <c r="F12" s="12">
        <v>29200</v>
      </c>
      <c r="G12" s="12">
        <v>24500</v>
      </c>
    </row>
    <row r="13" spans="1:8" ht="12.75" customHeight="1" x14ac:dyDescent="0.3">
      <c r="A13" s="6" t="s">
        <v>10</v>
      </c>
      <c r="B13" s="28"/>
      <c r="C13" s="29"/>
      <c r="D13" s="29"/>
      <c r="E13" s="29"/>
      <c r="F13" s="29"/>
      <c r="G13" s="30"/>
    </row>
    <row r="14" spans="1:8" ht="12.75" customHeight="1" x14ac:dyDescent="0.3">
      <c r="A14" s="5" t="s">
        <v>11</v>
      </c>
      <c r="B14" s="12">
        <v>64300</v>
      </c>
      <c r="C14" s="12">
        <v>6450</v>
      </c>
      <c r="D14" s="12">
        <v>32200.000000000004</v>
      </c>
      <c r="E14" s="12">
        <v>11400</v>
      </c>
      <c r="F14" s="12">
        <v>16800</v>
      </c>
      <c r="G14" s="12">
        <v>14100</v>
      </c>
    </row>
    <row r="15" spans="1:8" ht="12.75" customHeight="1" x14ac:dyDescent="0.3">
      <c r="A15" s="6" t="s">
        <v>12</v>
      </c>
      <c r="B15" s="28"/>
      <c r="C15" s="29"/>
      <c r="D15" s="29"/>
      <c r="E15" s="29"/>
      <c r="F15" s="29"/>
      <c r="G15" s="30"/>
    </row>
    <row r="16" spans="1:8" ht="12.75" customHeight="1" x14ac:dyDescent="0.3">
      <c r="A16" s="5" t="s">
        <v>13</v>
      </c>
      <c r="B16" s="12">
        <v>53800</v>
      </c>
      <c r="C16" s="12">
        <v>5400</v>
      </c>
      <c r="D16" s="12">
        <v>26900</v>
      </c>
      <c r="E16" s="12">
        <v>9500</v>
      </c>
      <c r="F16" s="12">
        <v>14000</v>
      </c>
      <c r="G16" s="12">
        <v>11800</v>
      </c>
    </row>
    <row r="17" spans="1:7" ht="12.75" customHeight="1" x14ac:dyDescent="0.3">
      <c r="A17" s="10" t="s">
        <v>60</v>
      </c>
      <c r="B17" s="15"/>
      <c r="C17" s="15"/>
      <c r="D17" s="15"/>
      <c r="E17" s="15"/>
      <c r="F17" s="15"/>
      <c r="G17" s="15"/>
    </row>
    <row r="18" spans="1:7" ht="12.75" customHeight="1" x14ac:dyDescent="0.3">
      <c r="A18" s="7" t="s">
        <v>14</v>
      </c>
      <c r="B18" s="16"/>
      <c r="C18" s="16"/>
      <c r="D18" s="16"/>
      <c r="E18" s="16"/>
      <c r="F18" s="16"/>
      <c r="G18" s="16"/>
    </row>
    <row r="19" spans="1:7" ht="12.75" customHeight="1" x14ac:dyDescent="0.3">
      <c r="A19" s="5" t="s">
        <v>15</v>
      </c>
      <c r="B19" s="12">
        <v>77300</v>
      </c>
      <c r="C19" s="12">
        <v>7750</v>
      </c>
      <c r="D19" s="12">
        <v>38700</v>
      </c>
      <c r="E19" s="12">
        <v>13700</v>
      </c>
      <c r="F19" s="12">
        <v>20100</v>
      </c>
      <c r="G19" s="12">
        <v>16900</v>
      </c>
    </row>
    <row r="20" spans="1:7" ht="12.75" customHeight="1" x14ac:dyDescent="0.3">
      <c r="A20" s="5" t="s">
        <v>16</v>
      </c>
      <c r="B20" s="12">
        <v>15600</v>
      </c>
      <c r="C20" s="12">
        <v>1600</v>
      </c>
      <c r="D20" s="12">
        <v>7800</v>
      </c>
      <c r="E20" s="12">
        <v>2750</v>
      </c>
      <c r="F20" s="12">
        <v>4100</v>
      </c>
      <c r="G20" s="12">
        <v>3450</v>
      </c>
    </row>
    <row r="21" spans="1:7" ht="12.75" customHeight="1" x14ac:dyDescent="0.3">
      <c r="A21" s="7" t="s">
        <v>17</v>
      </c>
      <c r="B21" s="16"/>
      <c r="C21" s="16"/>
      <c r="D21" s="16"/>
      <c r="E21" s="16"/>
      <c r="F21" s="16"/>
      <c r="G21" s="16"/>
    </row>
    <row r="22" spans="1:7" ht="12.75" customHeight="1" x14ac:dyDescent="0.3">
      <c r="A22" s="5" t="s">
        <v>18</v>
      </c>
      <c r="B22" s="12">
        <v>58000</v>
      </c>
      <c r="C22" s="12">
        <v>5800</v>
      </c>
      <c r="D22" s="12">
        <v>29000</v>
      </c>
      <c r="E22" s="12">
        <v>10300</v>
      </c>
      <c r="F22" s="12">
        <v>15100</v>
      </c>
      <c r="G22" s="12">
        <v>12700</v>
      </c>
    </row>
    <row r="23" spans="1:7" ht="12.75" customHeight="1" x14ac:dyDescent="0.3">
      <c r="A23" s="5" t="s">
        <v>19</v>
      </c>
      <c r="B23" s="12">
        <v>21100</v>
      </c>
      <c r="C23" s="12">
        <v>2150</v>
      </c>
      <c r="D23" s="12">
        <v>10600</v>
      </c>
      <c r="E23" s="12">
        <v>3750</v>
      </c>
      <c r="F23" s="12">
        <v>5500</v>
      </c>
      <c r="G23" s="12">
        <v>4650</v>
      </c>
    </row>
    <row r="24" spans="1:7" ht="12.75" customHeight="1" x14ac:dyDescent="0.3">
      <c r="A24" s="7" t="s">
        <v>20</v>
      </c>
      <c r="B24" s="16"/>
      <c r="C24" s="16"/>
      <c r="D24" s="16"/>
      <c r="E24" s="16"/>
      <c r="F24" s="16"/>
      <c r="G24" s="16"/>
    </row>
    <row r="25" spans="1:7" ht="12.75" customHeight="1" x14ac:dyDescent="0.3">
      <c r="A25" s="5" t="s">
        <v>21</v>
      </c>
      <c r="B25" s="12">
        <v>26800</v>
      </c>
      <c r="C25" s="12">
        <v>2700</v>
      </c>
      <c r="D25" s="12">
        <v>13400</v>
      </c>
      <c r="E25" s="12">
        <v>4750</v>
      </c>
      <c r="F25" s="12">
        <v>7000</v>
      </c>
      <c r="G25" s="12">
        <v>5850</v>
      </c>
    </row>
    <row r="26" spans="1:7" ht="12.75" customHeight="1" x14ac:dyDescent="0.3">
      <c r="A26" s="5" t="s">
        <v>22</v>
      </c>
      <c r="B26" s="12">
        <v>7000</v>
      </c>
      <c r="C26" s="12">
        <v>700000</v>
      </c>
      <c r="D26" s="12">
        <v>3500</v>
      </c>
      <c r="E26" s="12">
        <v>1250</v>
      </c>
      <c r="F26" s="12">
        <v>1850</v>
      </c>
      <c r="G26" s="12">
        <v>1550</v>
      </c>
    </row>
    <row r="27" spans="1:7" ht="12.75" customHeight="1" x14ac:dyDescent="0.3">
      <c r="A27" s="7" t="s">
        <v>23</v>
      </c>
      <c r="B27" s="16"/>
      <c r="C27" s="16"/>
      <c r="D27" s="16"/>
      <c r="E27" s="16"/>
      <c r="F27" s="16"/>
      <c r="G27" s="16"/>
    </row>
    <row r="28" spans="1:7" ht="12.75" customHeight="1" x14ac:dyDescent="0.3">
      <c r="A28" s="5" t="s">
        <v>24</v>
      </c>
      <c r="B28" s="12">
        <v>42200</v>
      </c>
      <c r="C28" s="12">
        <v>4250</v>
      </c>
      <c r="D28" s="12">
        <v>21100</v>
      </c>
      <c r="E28" s="12">
        <v>7450</v>
      </c>
      <c r="F28" s="12">
        <v>11000</v>
      </c>
      <c r="G28" s="12">
        <v>9250</v>
      </c>
    </row>
    <row r="29" spans="1:7" ht="12.75" customHeight="1" x14ac:dyDescent="0.3">
      <c r="A29" s="5" t="s">
        <v>25</v>
      </c>
      <c r="B29" s="12">
        <v>6130</v>
      </c>
      <c r="C29" s="12">
        <v>620000</v>
      </c>
      <c r="D29" s="12">
        <v>3100</v>
      </c>
      <c r="E29" s="12">
        <v>1100</v>
      </c>
      <c r="F29" s="12">
        <v>1600</v>
      </c>
      <c r="G29" s="12">
        <v>1350</v>
      </c>
    </row>
    <row r="30" spans="1:7" ht="12.75" customHeight="1" x14ac:dyDescent="0.3">
      <c r="A30" s="5" t="s">
        <v>26</v>
      </c>
      <c r="B30" s="13">
        <v>0</v>
      </c>
      <c r="C30" s="12">
        <v>4250</v>
      </c>
      <c r="D30" s="13">
        <v>0</v>
      </c>
      <c r="E30" s="12">
        <v>7450</v>
      </c>
      <c r="F30" s="13">
        <v>0</v>
      </c>
      <c r="G30" s="12">
        <v>9250</v>
      </c>
    </row>
    <row r="31" spans="1:7" ht="12.75" customHeight="1" x14ac:dyDescent="0.3">
      <c r="A31" s="5" t="s">
        <v>27</v>
      </c>
      <c r="B31" s="13">
        <v>0</v>
      </c>
      <c r="C31" s="12">
        <v>620000</v>
      </c>
      <c r="D31" s="13">
        <v>0</v>
      </c>
      <c r="E31" s="12">
        <v>1100</v>
      </c>
      <c r="F31" s="13">
        <v>0</v>
      </c>
      <c r="G31" s="12">
        <v>1350</v>
      </c>
    </row>
    <row r="32" spans="1:7" ht="12.75" customHeight="1" x14ac:dyDescent="0.3">
      <c r="A32" s="7" t="s">
        <v>28</v>
      </c>
      <c r="B32" s="16"/>
      <c r="C32" s="16"/>
      <c r="D32" s="16"/>
      <c r="E32" s="16"/>
      <c r="F32" s="16"/>
      <c r="G32" s="16"/>
    </row>
    <row r="33" spans="1:17" ht="12.75" customHeight="1" x14ac:dyDescent="0.3">
      <c r="A33" s="5" t="s">
        <v>29</v>
      </c>
      <c r="B33" s="13">
        <v>0</v>
      </c>
      <c r="C33" s="12">
        <v>1350</v>
      </c>
      <c r="D33" s="13">
        <v>0</v>
      </c>
      <c r="E33" s="12">
        <v>2350</v>
      </c>
      <c r="F33" s="13">
        <v>0</v>
      </c>
      <c r="G33" s="12">
        <v>2900</v>
      </c>
    </row>
    <row r="34" spans="1:17" ht="12.75" customHeight="1" x14ac:dyDescent="0.3">
      <c r="A34" s="5" t="s">
        <v>30</v>
      </c>
      <c r="B34" s="13">
        <v>0</v>
      </c>
      <c r="C34" s="12">
        <v>2150</v>
      </c>
      <c r="D34" s="13">
        <v>0</v>
      </c>
      <c r="E34" s="12">
        <v>3800</v>
      </c>
      <c r="F34" s="13">
        <v>0</v>
      </c>
      <c r="G34" s="12">
        <v>4700</v>
      </c>
    </row>
    <row r="35" spans="1:17" ht="12.75" customHeight="1" x14ac:dyDescent="0.3">
      <c r="A35" s="5" t="s">
        <v>31</v>
      </c>
      <c r="B35" s="13">
        <v>0</v>
      </c>
      <c r="C35" s="12">
        <v>400000</v>
      </c>
      <c r="D35" s="13">
        <v>0</v>
      </c>
      <c r="E35" s="12">
        <v>700000</v>
      </c>
      <c r="F35" s="13">
        <v>0</v>
      </c>
      <c r="G35" s="12">
        <v>860000</v>
      </c>
    </row>
    <row r="36" spans="1:17" ht="12.75" customHeight="1" x14ac:dyDescent="0.3">
      <c r="A36" s="6" t="s">
        <v>32</v>
      </c>
      <c r="B36" s="16"/>
      <c r="C36" s="16"/>
      <c r="D36" s="16"/>
      <c r="E36" s="16"/>
      <c r="F36" s="16"/>
      <c r="G36" s="16"/>
    </row>
    <row r="37" spans="1:17" ht="19" customHeight="1" x14ac:dyDescent="0.3">
      <c r="A37" s="5" t="s">
        <v>33</v>
      </c>
      <c r="B37" s="12">
        <v>73100</v>
      </c>
      <c r="C37" s="12">
        <v>147000</v>
      </c>
      <c r="D37" s="12">
        <v>366000</v>
      </c>
      <c r="E37" s="12">
        <v>25900</v>
      </c>
      <c r="F37" s="12">
        <v>19100</v>
      </c>
      <c r="G37" s="12">
        <v>32000</v>
      </c>
      <c r="H37" s="11"/>
      <c r="I37" s="21"/>
      <c r="J37" s="21"/>
      <c r="K37" s="21"/>
      <c r="L37" s="21"/>
      <c r="M37" s="21"/>
      <c r="N37" s="21"/>
      <c r="P37">
        <f t="shared" ref="P37:Q37" si="0">K37/100</f>
        <v>0</v>
      </c>
      <c r="Q37">
        <f t="shared" si="0"/>
        <v>0</v>
      </c>
    </row>
    <row r="38" spans="1:17" ht="18" customHeight="1" x14ac:dyDescent="0.3">
      <c r="A38" s="8" t="s">
        <v>34</v>
      </c>
      <c r="B38" s="12">
        <v>102000</v>
      </c>
      <c r="C38" s="12">
        <v>20500</v>
      </c>
      <c r="D38" s="12">
        <v>51000</v>
      </c>
      <c r="E38" s="12">
        <v>36200</v>
      </c>
      <c r="F38" s="12">
        <v>26600</v>
      </c>
      <c r="G38" s="12">
        <v>44700</v>
      </c>
      <c r="H38" s="11"/>
      <c r="I38" s="22"/>
      <c r="J38" s="22"/>
      <c r="K38" s="22"/>
      <c r="L38" s="22"/>
      <c r="M38" s="22"/>
      <c r="N38" s="22"/>
    </row>
    <row r="39" spans="1:17" ht="12.75" customHeight="1" x14ac:dyDescent="0.3">
      <c r="A39" s="5" t="s">
        <v>35</v>
      </c>
      <c r="B39" s="12">
        <v>15600</v>
      </c>
      <c r="C39" s="12">
        <v>1600</v>
      </c>
      <c r="D39" s="12">
        <v>7800</v>
      </c>
      <c r="E39" s="12">
        <v>2750</v>
      </c>
      <c r="F39" s="12">
        <v>4100</v>
      </c>
      <c r="G39" s="12">
        <v>3450</v>
      </c>
      <c r="H39" s="11"/>
      <c r="I39" s="22"/>
      <c r="J39" s="22"/>
      <c r="K39" s="22"/>
      <c r="L39" s="22"/>
      <c r="M39" s="22"/>
      <c r="N39" s="22"/>
    </row>
    <row r="40" spans="1:17" ht="12.75" customHeight="1" x14ac:dyDescent="0.3">
      <c r="A40" s="5" t="s">
        <v>36</v>
      </c>
      <c r="B40" s="12">
        <v>7000</v>
      </c>
      <c r="C40" s="12">
        <v>700</v>
      </c>
      <c r="D40" s="12">
        <v>3500</v>
      </c>
      <c r="E40" s="12">
        <v>1250</v>
      </c>
      <c r="F40" s="12">
        <v>1850</v>
      </c>
      <c r="G40" s="12">
        <v>1550</v>
      </c>
      <c r="H40" s="11"/>
      <c r="I40" s="22"/>
      <c r="J40" s="22"/>
      <c r="K40" s="22"/>
      <c r="L40" s="22"/>
      <c r="M40" s="22"/>
      <c r="N40" s="22"/>
    </row>
    <row r="41" spans="1:17" ht="12.75" customHeight="1" x14ac:dyDescent="0.3">
      <c r="A41" s="5" t="s">
        <v>37</v>
      </c>
      <c r="B41" s="13">
        <v>0</v>
      </c>
      <c r="C41" s="12">
        <v>6200</v>
      </c>
      <c r="D41" s="13">
        <v>0</v>
      </c>
      <c r="E41" s="12">
        <v>1100</v>
      </c>
      <c r="F41" s="13">
        <v>0</v>
      </c>
      <c r="G41" s="12">
        <v>1350</v>
      </c>
      <c r="H41" s="11"/>
      <c r="I41" s="22"/>
      <c r="J41" s="22"/>
      <c r="K41" s="22"/>
      <c r="L41" s="22"/>
      <c r="M41" s="22"/>
      <c r="N41" s="22"/>
    </row>
    <row r="42" spans="1:17" ht="12.75" customHeight="1" x14ac:dyDescent="0.3">
      <c r="A42" s="5" t="s">
        <v>38</v>
      </c>
      <c r="B42" s="12">
        <v>15600</v>
      </c>
      <c r="C42" s="12">
        <v>1600</v>
      </c>
      <c r="D42" s="12">
        <v>7800</v>
      </c>
      <c r="E42" s="12">
        <v>2750</v>
      </c>
      <c r="F42" s="12">
        <v>4100</v>
      </c>
      <c r="G42" s="12">
        <v>3450</v>
      </c>
      <c r="H42" s="11"/>
      <c r="I42" s="22"/>
      <c r="J42" s="22"/>
      <c r="K42" s="22"/>
      <c r="L42" s="22"/>
      <c r="M42" s="22"/>
      <c r="N42" s="22"/>
    </row>
    <row r="43" spans="1:17" ht="12.75" customHeight="1" x14ac:dyDescent="0.3">
      <c r="A43" s="5" t="s">
        <v>39</v>
      </c>
      <c r="B43" s="12">
        <v>21100</v>
      </c>
      <c r="C43" s="12">
        <v>2150</v>
      </c>
      <c r="D43" s="12">
        <v>10600</v>
      </c>
      <c r="E43" s="12">
        <v>3750</v>
      </c>
      <c r="F43" s="12">
        <v>5500</v>
      </c>
      <c r="G43" s="12">
        <v>4650</v>
      </c>
      <c r="H43" s="11"/>
      <c r="I43" s="22"/>
      <c r="J43" s="22"/>
      <c r="K43" s="22"/>
      <c r="L43" s="22"/>
      <c r="M43" s="22"/>
      <c r="N43" s="22"/>
    </row>
    <row r="44" spans="1:17" ht="12.75" customHeight="1" x14ac:dyDescent="0.3">
      <c r="A44" s="5" t="s">
        <v>40</v>
      </c>
      <c r="B44" s="12">
        <v>7000</v>
      </c>
      <c r="C44" s="12">
        <v>700</v>
      </c>
      <c r="D44" s="12">
        <v>3500</v>
      </c>
      <c r="E44" s="12">
        <v>1250</v>
      </c>
      <c r="F44" s="12">
        <v>1850</v>
      </c>
      <c r="G44" s="12">
        <v>1550</v>
      </c>
      <c r="H44" s="11"/>
      <c r="I44" s="22"/>
      <c r="J44" s="22"/>
      <c r="K44" s="22"/>
      <c r="L44" s="22"/>
      <c r="M44" s="22"/>
      <c r="N44" s="22"/>
    </row>
    <row r="45" spans="1:17" ht="12.75" customHeight="1" x14ac:dyDescent="0.3">
      <c r="A45" s="5" t="s">
        <v>41</v>
      </c>
      <c r="B45" s="13">
        <v>0</v>
      </c>
      <c r="C45" s="12">
        <v>620000</v>
      </c>
      <c r="D45" s="13">
        <v>0</v>
      </c>
      <c r="E45" s="12">
        <v>1100</v>
      </c>
      <c r="F45" s="13">
        <v>0</v>
      </c>
      <c r="G45" s="12">
        <v>1350</v>
      </c>
      <c r="H45" s="11"/>
      <c r="I45" s="22"/>
      <c r="J45" s="22"/>
      <c r="K45" s="22"/>
      <c r="L45" s="22"/>
      <c r="M45" s="22"/>
      <c r="N45" s="22"/>
    </row>
    <row r="46" spans="1:17" ht="12.75" customHeight="1" x14ac:dyDescent="0.3">
      <c r="A46" s="6" t="s">
        <v>57</v>
      </c>
      <c r="B46" s="31"/>
      <c r="C46" s="32"/>
      <c r="D46" s="32"/>
      <c r="E46" s="32"/>
      <c r="F46" s="32"/>
      <c r="G46" s="33"/>
    </row>
    <row r="47" spans="1:17" ht="12.75" customHeight="1" x14ac:dyDescent="0.3">
      <c r="A47" s="5" t="s">
        <v>58</v>
      </c>
      <c r="B47" s="12">
        <v>10200</v>
      </c>
      <c r="C47" s="12">
        <v>1050</v>
      </c>
      <c r="D47" s="12">
        <v>5100</v>
      </c>
      <c r="E47" s="12">
        <v>1800</v>
      </c>
      <c r="F47" s="12">
        <v>2700</v>
      </c>
      <c r="G47" s="12">
        <v>2250</v>
      </c>
    </row>
    <row r="48" spans="1:17" ht="12.75" customHeight="1" x14ac:dyDescent="0.3">
      <c r="A48" s="5" t="s">
        <v>59</v>
      </c>
      <c r="B48" s="12">
        <v>30300</v>
      </c>
      <c r="C48" s="12">
        <v>3050</v>
      </c>
      <c r="D48" s="12">
        <v>15200</v>
      </c>
      <c r="E48" s="12">
        <v>5350</v>
      </c>
      <c r="F48" s="12">
        <v>7900</v>
      </c>
      <c r="G48" s="12">
        <v>6650</v>
      </c>
    </row>
    <row r="49" spans="1:8" ht="12.75" customHeight="1" x14ac:dyDescent="0.3">
      <c r="A49" s="6" t="s">
        <v>42</v>
      </c>
      <c r="B49" s="38" t="s">
        <v>67</v>
      </c>
    </row>
    <row r="50" spans="1:8" ht="12.75" customHeight="1" x14ac:dyDescent="0.3">
      <c r="A50" s="7" t="s">
        <v>43</v>
      </c>
      <c r="B50" s="17">
        <v>0</v>
      </c>
    </row>
    <row r="51" spans="1:8" ht="12.75" customHeight="1" x14ac:dyDescent="0.3">
      <c r="A51" s="5" t="s">
        <v>44</v>
      </c>
      <c r="B51" s="18">
        <v>25000</v>
      </c>
    </row>
    <row r="52" spans="1:8" ht="12.75" customHeight="1" x14ac:dyDescent="0.3">
      <c r="A52" s="5" t="s">
        <v>45</v>
      </c>
      <c r="B52" s="18">
        <v>25000</v>
      </c>
    </row>
    <row r="53" spans="1:8" ht="12.75" customHeight="1" x14ac:dyDescent="0.3">
      <c r="A53" s="5" t="s">
        <v>46</v>
      </c>
      <c r="B53" s="18">
        <v>25000</v>
      </c>
    </row>
    <row r="54" spans="1:8" ht="12.75" customHeight="1" x14ac:dyDescent="0.3">
      <c r="A54" s="5" t="s">
        <v>47</v>
      </c>
      <c r="B54" s="18">
        <v>50000</v>
      </c>
    </row>
    <row r="55" spans="1:8" ht="12.75" customHeight="1" x14ac:dyDescent="0.3">
      <c r="A55" s="5" t="s">
        <v>48</v>
      </c>
      <c r="B55" s="18">
        <v>2500</v>
      </c>
    </row>
    <row r="56" spans="1:8" ht="12.75" customHeight="1" x14ac:dyDescent="0.3">
      <c r="A56" s="7" t="s">
        <v>49</v>
      </c>
      <c r="B56" s="18">
        <v>0</v>
      </c>
    </row>
    <row r="57" spans="1:8" ht="12.75" customHeight="1" x14ac:dyDescent="0.3">
      <c r="A57" s="5" t="s">
        <v>50</v>
      </c>
      <c r="B57" s="18">
        <v>25000</v>
      </c>
    </row>
    <row r="58" spans="1:8" ht="12.75" customHeight="1" x14ac:dyDescent="0.3">
      <c r="A58" s="5" t="s">
        <v>51</v>
      </c>
      <c r="B58" s="18">
        <v>10000</v>
      </c>
    </row>
    <row r="59" spans="1:8" ht="12.75" customHeight="1" x14ac:dyDescent="0.3">
      <c r="A59" s="5" t="s">
        <v>52</v>
      </c>
      <c r="B59" s="18">
        <v>45000</v>
      </c>
    </row>
    <row r="60" spans="1:8" ht="12.75" customHeight="1" x14ac:dyDescent="0.3">
      <c r="A60" s="5" t="s">
        <v>53</v>
      </c>
      <c r="B60" s="18">
        <v>13500</v>
      </c>
    </row>
    <row r="61" spans="1:8" ht="12.75" customHeight="1" x14ac:dyDescent="0.3">
      <c r="A61" s="5" t="s">
        <v>54</v>
      </c>
      <c r="B61" s="18">
        <v>100000</v>
      </c>
    </row>
    <row r="62" spans="1:8" ht="12.75" customHeight="1" x14ac:dyDescent="0.3">
      <c r="A62" s="5" t="s">
        <v>55</v>
      </c>
      <c r="B62" s="18">
        <v>45000</v>
      </c>
    </row>
    <row r="63" spans="1:8" ht="12.75" customHeight="1" x14ac:dyDescent="0.3">
      <c r="A63" s="5" t="s">
        <v>56</v>
      </c>
      <c r="B63" s="19">
        <v>45000</v>
      </c>
    </row>
    <row r="64" spans="1:8" x14ac:dyDescent="0.3">
      <c r="C64" s="39"/>
      <c r="D64" s="39"/>
      <c r="E64" s="39"/>
      <c r="F64" s="39"/>
      <c r="G64" s="40"/>
      <c r="H64" s="41"/>
    </row>
    <row r="65" spans="3:7" x14ac:dyDescent="0.3">
      <c r="C65" s="34"/>
      <c r="D65" s="34"/>
      <c r="E65" s="34"/>
      <c r="F65" s="34"/>
      <c r="G65" s="35"/>
    </row>
    <row r="66" spans="3:7" x14ac:dyDescent="0.3">
      <c r="C66" s="36"/>
      <c r="D66" s="36"/>
      <c r="E66" s="36"/>
      <c r="F66" s="36"/>
      <c r="G66" s="37"/>
    </row>
    <row r="67" spans="3:7" x14ac:dyDescent="0.3">
      <c r="C67" s="36"/>
      <c r="D67" s="36"/>
      <c r="E67" s="36"/>
      <c r="F67" s="36"/>
      <c r="G67" s="37"/>
    </row>
    <row r="68" spans="3:7" x14ac:dyDescent="0.3">
      <c r="C68" s="36"/>
      <c r="D68" s="36"/>
      <c r="E68" s="36"/>
      <c r="F68" s="36"/>
      <c r="G68" s="37"/>
    </row>
    <row r="69" spans="3:7" x14ac:dyDescent="0.3">
      <c r="C69" s="36"/>
      <c r="D69" s="36"/>
      <c r="E69" s="36"/>
      <c r="F69" s="36"/>
      <c r="G69" s="37"/>
    </row>
    <row r="70" spans="3:7" x14ac:dyDescent="0.3">
      <c r="C70" s="36"/>
      <c r="D70" s="36"/>
      <c r="E70" s="36"/>
      <c r="F70" s="36"/>
      <c r="G70" s="37"/>
    </row>
    <row r="71" spans="3:7" x14ac:dyDescent="0.3">
      <c r="C71" s="36"/>
      <c r="D71" s="36"/>
      <c r="E71" s="36"/>
      <c r="F71" s="36"/>
      <c r="G71" s="37"/>
    </row>
    <row r="72" spans="3:7" x14ac:dyDescent="0.3">
      <c r="C72" s="36"/>
      <c r="D72" s="36"/>
      <c r="E72" s="36"/>
      <c r="F72" s="36"/>
      <c r="G72" s="37"/>
    </row>
    <row r="73" spans="3:7" x14ac:dyDescent="0.3">
      <c r="C73" s="36"/>
      <c r="D73" s="36"/>
      <c r="E73" s="36"/>
      <c r="F73" s="36"/>
      <c r="G73" s="37"/>
    </row>
    <row r="74" spans="3:7" x14ac:dyDescent="0.3">
      <c r="C74" s="36"/>
      <c r="D74" s="36"/>
      <c r="E74" s="36"/>
      <c r="F74" s="36"/>
      <c r="G74" s="37"/>
    </row>
    <row r="75" spans="3:7" x14ac:dyDescent="0.3">
      <c r="C75" s="36"/>
      <c r="D75" s="36"/>
      <c r="E75" s="36"/>
      <c r="F75" s="36"/>
      <c r="G75" s="37"/>
    </row>
    <row r="76" spans="3:7" x14ac:dyDescent="0.3">
      <c r="C76" s="36"/>
      <c r="D76" s="36"/>
      <c r="E76" s="36"/>
      <c r="F76" s="36"/>
      <c r="G76" s="37"/>
    </row>
    <row r="77" spans="3:7" x14ac:dyDescent="0.3">
      <c r="C77" s="36"/>
      <c r="D77" s="36"/>
      <c r="E77" s="36"/>
      <c r="F77" s="36"/>
      <c r="G77" s="37"/>
    </row>
    <row r="78" spans="3:7" x14ac:dyDescent="0.3">
      <c r="C78" s="36"/>
      <c r="D78" s="36"/>
      <c r="E78" s="36"/>
      <c r="F78" s="36"/>
      <c r="G78" s="37"/>
    </row>
  </sheetData>
  <mergeCells count="9">
    <mergeCell ref="B10:G10"/>
    <mergeCell ref="B13:G13"/>
    <mergeCell ref="B15:G15"/>
    <mergeCell ref="B46:G46"/>
    <mergeCell ref="B1:G1"/>
    <mergeCell ref="B2:C2"/>
    <mergeCell ref="D2:E2"/>
    <mergeCell ref="F2:G2"/>
    <mergeCell ref="B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 Yilmaz</dc:creator>
  <cp:lastModifiedBy>fırat yiğitcan</cp:lastModifiedBy>
  <dcterms:created xsi:type="dcterms:W3CDTF">2026-09-09T08:58:45Z</dcterms:created>
  <dcterms:modified xsi:type="dcterms:W3CDTF">2026-09-09T14:02:06Z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v12.0.20182.1</vt:lpwstr>
  </property>
  <property fmtid="{D5CDD505-2E9C-101B-9397-08002B2CF9AE}" pid="3" name="Created">
    <vt:filetime>2026-09-02T00:00:00Z</vt:filetime>
  </property>
  <property fmtid="{D5CDD505-2E9C-101B-9397-08002B2CF9AE}" pid="4" name="Creator">
    <vt:lpwstr>Microsoft® Excel® Microsoft 365 için</vt:lpwstr>
  </property>
  <property fmtid="{D5CDD505-2E9C-101B-9397-08002B2CF9AE}" pid="5" name="LastSaved">
    <vt:filetime>2026-09-09T00:00:00Z</vt:filetime>
  </property>
  <property fmtid="{D5CDD505-2E9C-101B-9397-08002B2CF9AE}" pid="6" name="MSIP_Label_84021093-f22f-4a3b-9724-873fc16ec9a9_Enabled">
    <vt:lpwstr>True</vt:lpwstr>
  </property>
  <property fmtid="{D5CDD505-2E9C-101B-9397-08002B2CF9AE}" pid="7" name="MSIP_Label_84021093-f22f-4a3b-9724-873fc16ec9a9_Method">
    <vt:lpwstr>Standard</vt:lpwstr>
  </property>
  <property fmtid="{D5CDD505-2E9C-101B-9397-08002B2CF9AE}" pid="8" name="MSIP_Label_84021093-f22f-4a3b-9724-873fc16ec9a9_SiteId">
    <vt:lpwstr>4cbbf06e-35af-4376-a318-f74d530c8183</vt:lpwstr>
  </property>
  <property fmtid="{D5CDD505-2E9C-101B-9397-08002B2CF9AE}" pid="9" name="Producer">
    <vt:lpwstr>Microsoft® Excel® Microsoft 365 için</vt:lpwstr>
  </property>
</Properties>
</file>